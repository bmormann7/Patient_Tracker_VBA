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ian\OneDrive\Desktop\"/>
    </mc:Choice>
  </mc:AlternateContent>
  <xr:revisionPtr revIDLastSave="0" documentId="13_ncr:1_{56B45715-535B-4674-A07D-1AAF3D67EB13}" xr6:coauthVersionLast="47" xr6:coauthVersionMax="47" xr10:uidLastSave="{00000000-0000-0000-0000-000000000000}"/>
  <bookViews>
    <workbookView xWindow="-120" yWindow="-120" windowWidth="29040" windowHeight="15840" tabRatio="653" xr2:uid="{B75291FF-1D7C-4BA8-9913-39DC3AC6597A}"/>
  </bookViews>
  <sheets>
    <sheet name="EchoKPIs" sheetId="18" r:id="rId1"/>
    <sheet name="MonthlyCounts" sheetId="17" r:id="rId2"/>
    <sheet name="January" sheetId="16" r:id="rId3"/>
    <sheet name="February" sheetId="21" r:id="rId4"/>
    <sheet name="March" sheetId="22" r:id="rId5"/>
    <sheet name="April" sheetId="23" r:id="rId6"/>
    <sheet name="May" sheetId="24" r:id="rId7"/>
    <sheet name="June" sheetId="25" r:id="rId8"/>
    <sheet name="July" sheetId="26" r:id="rId9"/>
    <sheet name="August" sheetId="27" r:id="rId10"/>
    <sheet name="September" sheetId="28" r:id="rId11"/>
    <sheet name="October" sheetId="29" r:id="rId12"/>
    <sheet name="November" sheetId="30" r:id="rId13"/>
    <sheet name="December" sheetId="31" r:id="rId14"/>
    <sheet name="Template" sheetId="20" r:id="rId15"/>
  </sheets>
  <definedNames>
    <definedName name="_xlpm.echoDates" hidden="1" xlm="1">#NAME?</definedName>
    <definedName name="_xlpm.procDat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7" l="1"/>
  <c r="D14" i="17"/>
  <c r="C14" i="17"/>
  <c r="B14" i="17"/>
</calcChain>
</file>

<file path=xl/sharedStrings.xml><?xml version="1.0" encoding="utf-8"?>
<sst xmlns="http://schemas.openxmlformats.org/spreadsheetml/2006/main" count="446" uniqueCount="58">
  <si>
    <t>Name</t>
  </si>
  <si>
    <t>DOB</t>
  </si>
  <si>
    <t>MRN</t>
  </si>
  <si>
    <t>PCP</t>
  </si>
  <si>
    <t>Esse</t>
  </si>
  <si>
    <t>Refferal Date</t>
  </si>
  <si>
    <t>Refferal MD</t>
  </si>
  <si>
    <t>Inpt or Outpt</t>
  </si>
  <si>
    <t>Eval Date</t>
  </si>
  <si>
    <t>Disease</t>
  </si>
  <si>
    <t>Dental</t>
  </si>
  <si>
    <t>Echo/TEE</t>
  </si>
  <si>
    <t>Cath Date</t>
  </si>
  <si>
    <t>Cath MD</t>
  </si>
  <si>
    <t>IC Date</t>
  </si>
  <si>
    <t>IC MD</t>
  </si>
  <si>
    <t>CUS</t>
  </si>
  <si>
    <t>Head &amp; Neck CTA</t>
  </si>
  <si>
    <t>PFT</t>
  </si>
  <si>
    <t>Gated CTA</t>
  </si>
  <si>
    <t>USA appt</t>
  </si>
  <si>
    <t>Review Date</t>
  </si>
  <si>
    <t>Surgical Turndown</t>
  </si>
  <si>
    <t>Procedure performed</t>
  </si>
  <si>
    <t>Procedure Date</t>
  </si>
  <si>
    <t>Notes</t>
  </si>
  <si>
    <t>October</t>
  </si>
  <si>
    <t>Total Patients</t>
  </si>
  <si>
    <t>ESSE Patients</t>
  </si>
  <si>
    <t>TAVR/PCI</t>
  </si>
  <si>
    <t>mTEER</t>
  </si>
  <si>
    <t>SAVR</t>
  </si>
  <si>
    <t>SAVR/CABG</t>
  </si>
  <si>
    <t>TMVR</t>
  </si>
  <si>
    <t>November</t>
  </si>
  <si>
    <t>December</t>
  </si>
  <si>
    <t>TAVR</t>
  </si>
  <si>
    <t>redo mTEER</t>
  </si>
  <si>
    <t>Month</t>
  </si>
  <si>
    <t>Inpatient</t>
  </si>
  <si>
    <t>Surgical Turndowns</t>
  </si>
  <si>
    <t>May</t>
  </si>
  <si>
    <t>June</t>
  </si>
  <si>
    <t>July</t>
  </si>
  <si>
    <t>Procedure Type</t>
  </si>
  <si>
    <t>January</t>
  </si>
  <si>
    <t>February</t>
  </si>
  <si>
    <t>March</t>
  </si>
  <si>
    <t>April</t>
  </si>
  <si>
    <t>August</t>
  </si>
  <si>
    <t>September</t>
  </si>
  <si>
    <t>YTD Avg</t>
  </si>
  <si>
    <t>Echo to Procedure, Average Days</t>
  </si>
  <si>
    <t>Eval to Procedure, Average Days</t>
  </si>
  <si>
    <t>Eval to Gated CTA, Average Days</t>
  </si>
  <si>
    <t>TOTAL</t>
  </si>
  <si>
    <t>EKG</t>
  </si>
  <si>
    <t>Procedure Additions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</si>
</sst>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mm/dd/yy;@"/>
  </numFmts>
  <fonts count="4" x14ac:knownFonts="1">
    <font>
      <sz val="11"/>
      <color theme="1"/>
      <name val="Calibri"/>
      <family val="2"/>
    </font>
    <font>
      <sz val="11"/>
      <name val="Aptos Narrow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DAE9F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164" fontId="0" fillId="3" borderId="1" xfId="0" applyNumberFormat="1" applyFill="1" applyBorder="1" applyAlignment="1">
      <alignment horizontal="center" wrapText="1"/>
    </xf>
    <xf numFmtId="165" fontId="0" fillId="0" borderId="1" xfId="0" applyNumberFormat="1" applyBorder="1"/>
    <xf numFmtId="165" fontId="2" fillId="0" borderId="1" xfId="0" applyNumberFormat="1" applyFont="1" applyBorder="1"/>
    <xf numFmtId="0" fontId="3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3" fillId="7" borderId="1" xfId="0" applyFont="1" applyFill="1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</cellXfs>
  <cellStyles count="1">
    <cellStyle name="Normal" xfId="0" builtinId="0"/>
  </cellStyles>
  <dxfs count="52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6BDA0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603251</xdr:colOff>
      <xdr:row>0</xdr:row>
      <xdr:rowOff>180976</xdr:rowOff>
    </xdr:from>
    <xdr:to>
      <xdr:col>16</xdr:col>
      <xdr:colOff>279401</xdr:colOff>
      <xdr:row>2</xdr:row>
      <xdr:rowOff>180976</xdr:rowOff>
    </xdr:to>
    <xdr:sp macro="[0]!GenerateMonthlySummaryAndKPIs" textlink="">
      <xdr:nvSpPr>
        <xdr:cNvPr id="2" name="Rectangle 1">
          <a:extLst>
            <a:ext uri="{FF2B5EF4-FFF2-40B4-BE49-F238E27FC236}">
              <a16:creationId xmlns:a16="http://schemas.microsoft.com/office/drawing/2014/main" id="{50690CF4-E540-A571-4F8A-8C574DF6B18B}"/>
            </a:ext>
          </a:extLst>
        </xdr:cNvPr>
        <xdr:cNvSpPr/>
      </xdr:nvSpPr>
      <xdr:spPr>
        <a:xfrm>
          <a:off x="9544051" y="180976"/>
          <a:ext cx="895350" cy="368300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25A6-EAB0-458F-B4F0-A3A20E57FA78}">
  <sheetPr codeName="Sheet15"/>
  <dimension ref="A1:N25"/>
  <sheetViews>
    <sheetView tabSelected="1" workbookViewId="0">
      <selection activeCell="C3" sqref="C3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8.85546875" bestFit="1" customWidth="1"/>
    <col min="4" max="4" width="6.42578125" bestFit="1" customWidth="1"/>
    <col min="5" max="5" width="5.28515625" bestFit="1" customWidth="1"/>
    <col min="6" max="6" width="4.7109375" bestFit="1" customWidth="1"/>
    <col min="7" max="7" width="5.140625" bestFit="1" customWidth="1"/>
    <col min="8" max="8" width="4.42578125" bestFit="1" customWidth="1"/>
    <col min="9" max="9" width="7.140625" bestFit="1" customWidth="1"/>
    <col min="10" max="10" width="10.85546875" bestFit="1" customWidth="1"/>
    <col min="11" max="11" width="8.140625" bestFit="1" customWidth="1"/>
    <col min="12" max="12" width="10.42578125" bestFit="1" customWidth="1"/>
    <col min="13" max="13" width="10.140625" bestFit="1" customWidth="1"/>
    <col min="14" max="14" width="8" bestFit="1" customWidth="1"/>
  </cols>
  <sheetData>
    <row r="1" spans="1:14" x14ac:dyDescent="0.25">
      <c r="A1" s="13" t="s">
        <v>44</v>
      </c>
      <c r="B1" s="13" t="s">
        <v>45</v>
      </c>
      <c r="C1" s="13" t="s">
        <v>46</v>
      </c>
      <c r="D1" s="13" t="s">
        <v>47</v>
      </c>
      <c r="E1" s="13" t="s">
        <v>48</v>
      </c>
      <c r="F1" s="13" t="s">
        <v>41</v>
      </c>
      <c r="G1" s="13" t="s">
        <v>42</v>
      </c>
      <c r="H1" s="13" t="s">
        <v>43</v>
      </c>
      <c r="I1" s="13" t="s">
        <v>49</v>
      </c>
      <c r="J1" s="13" t="s">
        <v>50</v>
      </c>
      <c r="K1" s="13" t="s">
        <v>26</v>
      </c>
      <c r="L1" s="13" t="s">
        <v>34</v>
      </c>
      <c r="M1" s="13" t="s">
        <v>35</v>
      </c>
      <c r="N1" s="13" t="s">
        <v>51</v>
      </c>
    </row>
    <row r="2" spans="1:14" x14ac:dyDescent="0.25">
      <c r="A2" s="14" t="s">
        <v>52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25">
      <c r="A3" s="14" t="s">
        <v>36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25">
      <c r="A4" s="14" t="s">
        <v>29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25">
      <c r="A5" s="14" t="s">
        <v>30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25">
      <c r="A6" s="14" t="s">
        <v>37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25">
      <c r="A7" s="14" t="s">
        <v>31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25">
      <c r="A8" s="14" t="s">
        <v>32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25">
      <c r="A9" s="14" t="s">
        <v>33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25">
      <c r="A10" s="13" t="s">
        <v>53</v>
      </c>
      <c r="B10" s="13" t="s">
        <v>45</v>
      </c>
      <c r="C10" s="13" t="s">
        <v>46</v>
      </c>
      <c r="D10" s="13" t="s">
        <v>47</v>
      </c>
      <c r="E10" s="13" t="s">
        <v>48</v>
      </c>
      <c r="F10" s="13" t="s">
        <v>41</v>
      </c>
      <c r="G10" s="13" t="s">
        <v>42</v>
      </c>
      <c r="H10" s="13" t="s">
        <v>43</v>
      </c>
      <c r="I10" s="13" t="s">
        <v>49</v>
      </c>
      <c r="J10" s="13" t="s">
        <v>50</v>
      </c>
      <c r="K10" s="13" t="s">
        <v>26</v>
      </c>
      <c r="L10" s="13" t="s">
        <v>34</v>
      </c>
      <c r="M10" s="13" t="s">
        <v>35</v>
      </c>
      <c r="N10" s="13" t="s">
        <v>51</v>
      </c>
    </row>
    <row r="11" spans="1:14" x14ac:dyDescent="0.25">
      <c r="A11" s="14" t="s">
        <v>36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25">
      <c r="A12" s="14" t="s">
        <v>29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25">
      <c r="A13" s="14" t="s">
        <v>30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25">
      <c r="A14" s="14" t="s">
        <v>37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25">
      <c r="A15" s="14" t="s">
        <v>31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25">
      <c r="A16" s="14" t="s">
        <v>32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25">
      <c r="A17" s="14" t="s">
        <v>33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25">
      <c r="A18" s="13" t="s">
        <v>54</v>
      </c>
      <c r="B18" s="13" t="s">
        <v>45</v>
      </c>
      <c r="C18" s="13" t="s">
        <v>46</v>
      </c>
      <c r="D18" s="13" t="s">
        <v>47</v>
      </c>
      <c r="E18" s="13" t="s">
        <v>48</v>
      </c>
      <c r="F18" s="13" t="s">
        <v>41</v>
      </c>
      <c r="G18" s="13" t="s">
        <v>42</v>
      </c>
      <c r="H18" s="13" t="s">
        <v>43</v>
      </c>
      <c r="I18" s="13" t="s">
        <v>49</v>
      </c>
      <c r="J18" s="13" t="s">
        <v>50</v>
      </c>
      <c r="K18" s="13" t="s">
        <v>26</v>
      </c>
      <c r="L18" s="13" t="s">
        <v>34</v>
      </c>
      <c r="M18" s="13" t="s">
        <v>35</v>
      </c>
      <c r="N18" s="13" t="s">
        <v>51</v>
      </c>
    </row>
    <row r="19" spans="1:14" x14ac:dyDescent="0.25">
      <c r="A19" s="14" t="s">
        <v>36</v>
      </c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25">
      <c r="A20" s="14" t="s">
        <v>29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25">
      <c r="A21" s="14" t="s">
        <v>30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25">
      <c r="A22" s="14" t="s">
        <v>37</v>
      </c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25">
      <c r="A23" s="14" t="s">
        <v>31</v>
      </c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25">
      <c r="A24" s="14" t="s">
        <v>32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25">
      <c r="A25" s="14" t="s">
        <v>33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9007-FB49-47CA-906B-FF5588257430}">
  <sheetPr codeName="Sheet5"/>
  <dimension ref="A1:E14"/>
  <sheetViews>
    <sheetView workbookViewId="0">
      <selection activeCell="B17" sqref="B17"/>
    </sheetView>
  </sheetViews>
  <sheetFormatPr defaultRowHeight="15" x14ac:dyDescent="0.25"/>
  <cols>
    <col min="1" max="1" width="10.85546875" bestFit="1" customWidth="1"/>
    <col min="2" max="2" width="13.28515625" bestFit="1" customWidth="1"/>
    <col min="3" max="3" width="12.7109375" bestFit="1" customWidth="1"/>
    <col min="4" max="4" width="9.140625" bestFit="1" customWidth="1"/>
    <col min="5" max="5" width="18.42578125" bestFit="1" customWidth="1"/>
  </cols>
  <sheetData>
    <row r="1" spans="1:5" x14ac:dyDescent="0.25">
      <c r="A1" s="13" t="s">
        <v>38</v>
      </c>
      <c r="B1" s="13" t="s">
        <v>27</v>
      </c>
      <c r="C1" s="13" t="s">
        <v>28</v>
      </c>
      <c r="D1" s="13" t="s">
        <v>39</v>
      </c>
      <c r="E1" s="13" t="s">
        <v>40</v>
      </c>
    </row>
    <row r="2" spans="1:5" x14ac:dyDescent="0.25">
      <c r="A2" s="6" t="s">
        <v>45</v>
      </c>
      <c r="B2" s="15">
        <v>0</v>
      </c>
      <c r="C2" s="15">
        <v>0</v>
      </c>
      <c r="D2" s="15">
        <v>0</v>
      </c>
      <c r="E2" s="15">
        <v>0</v>
      </c>
    </row>
    <row r="3" spans="1:5" x14ac:dyDescent="0.25">
      <c r="A3" s="6" t="s">
        <v>46</v>
      </c>
      <c r="B3" s="15">
        <v>0</v>
      </c>
      <c r="C3" s="15">
        <v>0</v>
      </c>
      <c r="D3" s="15">
        <v>0</v>
      </c>
      <c r="E3" s="15">
        <v>0</v>
      </c>
    </row>
    <row r="4" spans="1:5" x14ac:dyDescent="0.25">
      <c r="A4" s="6" t="s">
        <v>47</v>
      </c>
      <c r="B4" s="15">
        <v>0</v>
      </c>
      <c r="C4" s="15">
        <v>0</v>
      </c>
      <c r="D4" s="15">
        <v>0</v>
      </c>
      <c r="E4" s="15">
        <v>0</v>
      </c>
    </row>
    <row r="5" spans="1:5" x14ac:dyDescent="0.25">
      <c r="A5" s="6" t="s">
        <v>48</v>
      </c>
      <c r="B5" s="15">
        <v>0</v>
      </c>
      <c r="C5" s="15">
        <v>0</v>
      </c>
      <c r="D5" s="15">
        <v>0</v>
      </c>
      <c r="E5" s="15">
        <v>0</v>
      </c>
    </row>
    <row r="6" spans="1:5" x14ac:dyDescent="0.25">
      <c r="A6" s="6" t="s">
        <v>41</v>
      </c>
      <c r="B6" s="15">
        <v>0</v>
      </c>
      <c r="C6" s="15">
        <v>0</v>
      </c>
      <c r="D6" s="15">
        <v>0</v>
      </c>
      <c r="E6" s="15">
        <v>0</v>
      </c>
    </row>
    <row r="7" spans="1:5" x14ac:dyDescent="0.25">
      <c r="A7" s="6" t="s">
        <v>42</v>
      </c>
      <c r="B7" s="15">
        <v>0</v>
      </c>
      <c r="C7" s="15">
        <v>0</v>
      </c>
      <c r="D7" s="15">
        <v>0</v>
      </c>
      <c r="E7" s="15">
        <v>0</v>
      </c>
    </row>
    <row r="8" spans="1:5" x14ac:dyDescent="0.25">
      <c r="A8" s="6" t="s">
        <v>43</v>
      </c>
      <c r="B8" s="15">
        <v>0</v>
      </c>
      <c r="C8" s="15">
        <v>0</v>
      </c>
      <c r="D8" s="15">
        <v>0</v>
      </c>
      <c r="E8" s="15">
        <v>0</v>
      </c>
    </row>
    <row r="9" spans="1:5" x14ac:dyDescent="0.25">
      <c r="A9" s="6" t="s">
        <v>49</v>
      </c>
      <c r="B9" s="15">
        <v>0</v>
      </c>
      <c r="C9" s="15">
        <v>0</v>
      </c>
      <c r="D9" s="15">
        <v>0</v>
      </c>
      <c r="E9" s="15">
        <v>0</v>
      </c>
    </row>
    <row r="10" spans="1:5" x14ac:dyDescent="0.25">
      <c r="A10" s="6" t="s">
        <v>50</v>
      </c>
      <c r="B10" s="15">
        <v>0</v>
      </c>
      <c r="C10" s="15">
        <v>0</v>
      </c>
      <c r="D10" s="15">
        <v>0</v>
      </c>
      <c r="E10" s="15">
        <v>0</v>
      </c>
    </row>
    <row r="11" spans="1:5" x14ac:dyDescent="0.25">
      <c r="A11" s="6" t="s">
        <v>26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25">
      <c r="A12" s="6" t="s">
        <v>34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25">
      <c r="A13" s="6" t="s">
        <v>35</v>
      </c>
      <c r="B13" s="15">
        <v>0</v>
      </c>
      <c r="C13" s="15">
        <v>0</v>
      </c>
      <c r="D13" s="15">
        <v>0</v>
      </c>
      <c r="E13" s="15">
        <v>0</v>
      </c>
    </row>
    <row r="14" spans="1:5" x14ac:dyDescent="0.25">
      <c r="A14" s="12" t="s">
        <v>55</v>
      </c>
      <c r="B14" s="16">
        <f>SUM(B2:B13)</f>
        <v>0</v>
      </c>
      <c r="C14" s="16">
        <f>SUM(C2:C13)</f>
        <v>0</v>
      </c>
      <c r="D14" s="16">
        <f>SUM(D2:D13)</f>
        <v>0</v>
      </c>
      <c r="E14" s="16">
        <f>SUM(E2:E13)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F0BFB-F538-475E-B5D5-9109CAF8E2E7}">
  <sheetPr codeName="Sheet14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48" priority="5">
      <formula>AND(NOT(ISBLANK($A2)), OR(ISBLANK($K2), $K2="Faxed"))</formula>
    </cfRule>
  </conditionalFormatting>
  <conditionalFormatting sqref="L31:P31 L2:W30">
    <cfRule type="expression" dxfId="51" priority="3">
      <formula>AND(ISNUMBER(L2), L2&gt;TODAY())</formula>
    </cfRule>
  </conditionalFormatting>
  <conditionalFormatting sqref="M31">
    <cfRule type="expression" dxfId="50" priority="2">
      <formula>AND(ISNUMBER(M31), M31&gt;TODAY())</formula>
    </cfRule>
  </conditionalFormatting>
  <conditionalFormatting sqref="R31:V31">
    <cfRule type="expression" dxfId="49" priority="1">
      <formula>AND(ISNUMBER(R31), R31&gt;TODAY())</formula>
    </cfRule>
  </conditionalFormatting>
  <dataValidations count="4">
    <dataValidation type="list" allowBlank="1" showInputMessage="1" showErrorMessage="1" sqref="Y2:Y31" xr:uid="{0DE51492-F169-4CE2-BD42-D925B3A0E0A4}">
      <formula1>"TAVR, TAVR/PCI,  mTEER, redo mTEER, SAVR, SAVR/CABG, TMVR, Declined, Refused, Referred, Deceased"</formula1>
    </dataValidation>
    <dataValidation type="list" allowBlank="1" showInputMessage="1" showErrorMessage="1" sqref="J2:J31" xr:uid="{12BA643C-DFB2-4E89-A8C7-C57229CF84EB}">
      <formula1>"AS, AS/CAD, MR, MR/CAD, AI"</formula1>
    </dataValidation>
    <dataValidation type="list" allowBlank="1" showInputMessage="1" showErrorMessage="1" sqref="H2:H31" xr:uid="{3F672E94-EAAF-4804-A01D-438A87049C65}">
      <formula1>"Inpt, Oupt"</formula1>
    </dataValidation>
    <dataValidation type="list" allowBlank="1" showInputMessage="1" showErrorMessage="1" sqref="E2:E31 X2:X31" xr:uid="{89A84C47-0E8C-4AF5-AE56-9F7A6A19E59C}">
      <formula1>"Yes, No"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850EA-A538-43A2-853D-5E0CB6587076}">
  <sheetPr codeName="Sheet17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43" priority="4">
      <formula>AND(NOT(ISBLANK($A2)), OR(ISBLANK($K2), $K2="Faxed"))</formula>
    </cfRule>
  </conditionalFormatting>
  <conditionalFormatting sqref="L31:P31 L2:W30">
    <cfRule type="expression" dxfId="42" priority="3">
      <formula>AND(ISNUMBER(L2), L2&gt;TODAY())</formula>
    </cfRule>
  </conditionalFormatting>
  <conditionalFormatting sqref="M31">
    <cfRule type="expression" dxfId="41" priority="2">
      <formula>AND(ISNUMBER(M31), M31&gt;TODAY())</formula>
    </cfRule>
  </conditionalFormatting>
  <conditionalFormatting sqref="R31:V31">
    <cfRule type="expression" dxfId="40" priority="1">
      <formula>AND(ISNUMBER(R31), R31&gt;TODAY())</formula>
    </cfRule>
  </conditionalFormatting>
  <dataValidations count="4">
    <dataValidation type="list" allowBlank="1" showInputMessage="1" showErrorMessage="1" sqref="E2:E31 X2:X31" xr:uid="{EACCD0E7-109F-45C0-892D-63E1A46D4F4A}">
      <formula1>"Yes, No"</formula1>
    </dataValidation>
    <dataValidation type="list" allowBlank="1" showInputMessage="1" showErrorMessage="1" sqref="H2:H31" xr:uid="{A2389433-ABB4-46EF-97DB-F1387BA81A2F}">
      <formula1>"Inpt, Oupt"</formula1>
    </dataValidation>
    <dataValidation type="list" allowBlank="1" showInputMessage="1" showErrorMessage="1" sqref="J2:J31" xr:uid="{2AAD446E-6552-4A3B-B56B-0DE893226F78}">
      <formula1>"AS, AS/CAD, MR, MR/CAD, AI"</formula1>
    </dataValidation>
    <dataValidation type="list" allowBlank="1" showInputMessage="1" showErrorMessage="1" sqref="Y2:Y31" xr:uid="{5C03E8DB-8329-45A0-AD98-A728BC2951D1}">
      <formula1>"TAVR, TAVR/PCI,  mTEER, redo mTEER, SAVR, SAVR/CABG, TMVR, Declined, Refused, Referred, Deceased"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F31D5-480A-4430-AC22-736F84A97FF6}">
  <sheetPr codeName="Sheet18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39" priority="4">
      <formula>AND(NOT(ISBLANK($A2)), OR(ISBLANK($K2), $K2="Faxed"))</formula>
    </cfRule>
  </conditionalFormatting>
  <conditionalFormatting sqref="L31:P31 L2:W30">
    <cfRule type="expression" dxfId="38" priority="3">
      <formula>AND(ISNUMBER(L2), L2&gt;TODAY())</formula>
    </cfRule>
  </conditionalFormatting>
  <conditionalFormatting sqref="M31">
    <cfRule type="expression" dxfId="37" priority="2">
      <formula>AND(ISNUMBER(M31), M31&gt;TODAY())</formula>
    </cfRule>
  </conditionalFormatting>
  <conditionalFormatting sqref="R31:V31">
    <cfRule type="expression" dxfId="36" priority="1">
      <formula>AND(ISNUMBER(R31), R31&gt;TODAY())</formula>
    </cfRule>
  </conditionalFormatting>
  <dataValidations count="4">
    <dataValidation type="list" allowBlank="1" showInputMessage="1" showErrorMessage="1" sqref="Y2:Y31" xr:uid="{9080BA10-FB16-4045-A622-F16D42A60997}">
      <formula1>"TAVR, TAVR/PCI,  mTEER, redo mTEER, SAVR, SAVR/CABG, TMVR, Declined, Refused, Referred, Deceased"</formula1>
    </dataValidation>
    <dataValidation type="list" allowBlank="1" showInputMessage="1" showErrorMessage="1" sqref="J2:J31" xr:uid="{A6C007EC-B9B4-4B4F-A864-D13CBBFF9692}">
      <formula1>"AS, AS/CAD, MR, MR/CAD, AI"</formula1>
    </dataValidation>
    <dataValidation type="list" allowBlank="1" showInputMessage="1" showErrorMessage="1" sqref="H2:H31" xr:uid="{2D24E289-BE5A-49C6-A2B7-F294858F7CC6}">
      <formula1>"Inpt, Oupt"</formula1>
    </dataValidation>
    <dataValidation type="list" allowBlank="1" showInputMessage="1" showErrorMessage="1" sqref="E2:E31 X2:X31" xr:uid="{EE5F6F6F-74F1-4412-8716-76F1D1034062}">
      <formula1>"Yes, No"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5F2D9-DF8E-48A0-87A2-646860BE9450}">
  <sheetPr codeName="Sheet19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35" priority="4">
      <formula>AND(NOT(ISBLANK($A2)), OR(ISBLANK($K2), $K2="Faxed"))</formula>
    </cfRule>
  </conditionalFormatting>
  <conditionalFormatting sqref="L31:P31 L2:W30">
    <cfRule type="expression" dxfId="34" priority="3">
      <formula>AND(ISNUMBER(L2), L2&gt;TODAY())</formula>
    </cfRule>
  </conditionalFormatting>
  <conditionalFormatting sqref="M31">
    <cfRule type="expression" dxfId="33" priority="2">
      <formula>AND(ISNUMBER(M31), M31&gt;TODAY())</formula>
    </cfRule>
  </conditionalFormatting>
  <conditionalFormatting sqref="R31:V31">
    <cfRule type="expression" dxfId="32" priority="1">
      <formula>AND(ISNUMBER(R31), R31&gt;TODAY())</formula>
    </cfRule>
  </conditionalFormatting>
  <dataValidations count="4">
    <dataValidation type="list" allowBlank="1" showInputMessage="1" showErrorMessage="1" sqref="E2:E31 X2:X31" xr:uid="{BD36E175-E1A7-42F7-ADB2-FC91D41C91DC}">
      <formula1>"Yes, No"</formula1>
    </dataValidation>
    <dataValidation type="list" allowBlank="1" showInputMessage="1" showErrorMessage="1" sqref="H2:H31" xr:uid="{4817E39B-8AF6-410F-9549-D292394193F1}">
      <formula1>"Inpt, Oupt"</formula1>
    </dataValidation>
    <dataValidation type="list" allowBlank="1" showInputMessage="1" showErrorMessage="1" sqref="J2:J31" xr:uid="{5753355A-831D-4EAA-93AD-FC4D55420B31}">
      <formula1>"AS, AS/CAD, MR, MR/CAD, AI"</formula1>
    </dataValidation>
    <dataValidation type="list" allowBlank="1" showInputMessage="1" showErrorMessage="1" sqref="Y2:Y31" xr:uid="{7396D1E0-BE23-4CCF-85E6-2C48D642CEB1}">
      <formula1>"TAVR, TAVR/PCI,  mTEER, redo mTEER, SAVR, SAVR/CABG, TMVR, Declined, Refused, Referred, Deceased"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E9932-74B0-444A-B043-DF80BDEC6267}">
  <sheetPr codeName="Sheet20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31" priority="4">
      <formula>AND(NOT(ISBLANK($A2)), OR(ISBLANK($K2), $K2="Faxed"))</formula>
    </cfRule>
  </conditionalFormatting>
  <conditionalFormatting sqref="L31:P31 L2:W30">
    <cfRule type="expression" dxfId="30" priority="3">
      <formula>AND(ISNUMBER(L2), L2&gt;TODAY())</formula>
    </cfRule>
  </conditionalFormatting>
  <conditionalFormatting sqref="M31">
    <cfRule type="expression" dxfId="29" priority="2">
      <formula>AND(ISNUMBER(M31), M31&gt;TODAY())</formula>
    </cfRule>
  </conditionalFormatting>
  <conditionalFormatting sqref="R31:V31">
    <cfRule type="expression" dxfId="28" priority="1">
      <formula>AND(ISNUMBER(R31), R31&gt;TODAY())</formula>
    </cfRule>
  </conditionalFormatting>
  <dataValidations count="4">
    <dataValidation type="list" allowBlank="1" showInputMessage="1" showErrorMessage="1" sqref="Y2:Y31" xr:uid="{3DF79A5B-BCC0-4663-97E7-A8D39CAB88B0}">
      <formula1>"TAVR, TAVR/PCI,  mTEER, redo mTEER, SAVR, SAVR/CABG, TMVR, Declined, Refused, Referred, Deceased"</formula1>
    </dataValidation>
    <dataValidation type="list" allowBlank="1" showInputMessage="1" showErrorMessage="1" sqref="J2:J31" xr:uid="{DBC3A94D-B76F-473C-8C48-0A60C61EA77F}">
      <formula1>"AS, AS/CAD, MR, MR/CAD, AI"</formula1>
    </dataValidation>
    <dataValidation type="list" allowBlank="1" showInputMessage="1" showErrorMessage="1" sqref="H2:H31" xr:uid="{92EC60EF-7835-42F9-B915-609FD0AA86F3}">
      <formula1>"Inpt, Oupt"</formula1>
    </dataValidation>
    <dataValidation type="list" allowBlank="1" showInputMessage="1" showErrorMessage="1" sqref="E2:E31 X2:X31" xr:uid="{9DDFA8A6-F3D5-48CA-877E-E08DD0B3F303}">
      <formula1>"Yes, No"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E7653-FF8E-4E8E-A272-F93492A87B7E}">
  <sheetPr codeName="Sheet21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27" priority="4">
      <formula>AND(NOT(ISBLANK($A2)), OR(ISBLANK($K2), $K2="Faxed"))</formula>
    </cfRule>
  </conditionalFormatting>
  <conditionalFormatting sqref="L31:P31 L2:W30">
    <cfRule type="expression" dxfId="26" priority="3">
      <formula>AND(ISNUMBER(L2), L2&gt;TODAY())</formula>
    </cfRule>
  </conditionalFormatting>
  <conditionalFormatting sqref="M31">
    <cfRule type="expression" dxfId="25" priority="2">
      <formula>AND(ISNUMBER(M31), M31&gt;TODAY())</formula>
    </cfRule>
  </conditionalFormatting>
  <conditionalFormatting sqref="R31:V31">
    <cfRule type="expression" dxfId="24" priority="1">
      <formula>AND(ISNUMBER(R31), R31&gt;TODAY())</formula>
    </cfRule>
  </conditionalFormatting>
  <dataValidations count="4">
    <dataValidation type="list" allowBlank="1" showInputMessage="1" showErrorMessage="1" sqref="E2:E31 X2:X31" xr:uid="{3B426D03-5055-4642-B436-39DECAC7B6E8}">
      <formula1>"Yes, No"</formula1>
    </dataValidation>
    <dataValidation type="list" allowBlank="1" showInputMessage="1" showErrorMessage="1" sqref="H2:H31" xr:uid="{C67DC852-47EE-45FB-8213-02378C7FDDF7}">
      <formula1>"Inpt, Oupt"</formula1>
    </dataValidation>
    <dataValidation type="list" allowBlank="1" showInputMessage="1" showErrorMessage="1" sqref="J2:J31" xr:uid="{CF9BC6AF-6777-4A1A-AD6B-0A51AAE8FF01}">
      <formula1>"AS, AS/CAD, MR, MR/CAD, AI"</formula1>
    </dataValidation>
    <dataValidation type="list" allowBlank="1" showInputMessage="1" showErrorMessage="1" sqref="Y2:Y31" xr:uid="{8F097E05-A451-4B7E-8273-EFF2B3B37CF8}">
      <formula1>"TAVR, TAVR/PCI,  mTEER, redo mTEER, SAVR, SAVR/CABG, TMVR, Declined, Refused, Referred, Deceased"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7E47A-5484-412B-8C33-13F5AF8DBC4D}">
  <sheetPr codeName="Sheet22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23" priority="4">
      <formula>AND(NOT(ISBLANK($A2)), OR(ISBLANK($K2), $K2="Faxed"))</formula>
    </cfRule>
  </conditionalFormatting>
  <conditionalFormatting sqref="L31:P31 L2:W30">
    <cfRule type="expression" dxfId="22" priority="3">
      <formula>AND(ISNUMBER(L2), L2&gt;TODAY())</formula>
    </cfRule>
  </conditionalFormatting>
  <conditionalFormatting sqref="M31">
    <cfRule type="expression" dxfId="21" priority="2">
      <formula>AND(ISNUMBER(M31), M31&gt;TODAY())</formula>
    </cfRule>
  </conditionalFormatting>
  <conditionalFormatting sqref="R31:V31">
    <cfRule type="expression" dxfId="20" priority="1">
      <formula>AND(ISNUMBER(R31), R31&gt;TODAY())</formula>
    </cfRule>
  </conditionalFormatting>
  <dataValidations count="4">
    <dataValidation type="list" allowBlank="1" showInputMessage="1" showErrorMessage="1" sqref="Y2:Y31" xr:uid="{596202A5-7DDA-4232-AFBA-1D7AC0B17AA6}">
      <formula1>"TAVR, TAVR/PCI,  mTEER, redo mTEER, SAVR, SAVR/CABG, TMVR, Declined, Refused, Referred, Deceased"</formula1>
    </dataValidation>
    <dataValidation type="list" allowBlank="1" showInputMessage="1" showErrorMessage="1" sqref="J2:J31" xr:uid="{B4D97C7A-2BF0-49B8-9352-09873FB31707}">
      <formula1>"AS, AS/CAD, MR, MR/CAD, AI"</formula1>
    </dataValidation>
    <dataValidation type="list" allowBlank="1" showInputMessage="1" showErrorMessage="1" sqref="H2:H31" xr:uid="{B710A864-267B-4E76-ADD0-03F73CCB94BB}">
      <formula1>"Inpt, Oupt"</formula1>
    </dataValidation>
    <dataValidation type="list" allowBlank="1" showInputMessage="1" showErrorMessage="1" sqref="E2:E31 X2:X31" xr:uid="{5EA95C75-7D03-42EC-8527-514556A80CF5}">
      <formula1>"Yes, No"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A407-8FEC-4322-ACE3-6857926C28C8}">
  <sheetPr codeName="Sheet23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19" priority="4">
      <formula>AND(NOT(ISBLANK($A2)), OR(ISBLANK($K2), $K2="Faxed"))</formula>
    </cfRule>
  </conditionalFormatting>
  <conditionalFormatting sqref="L31:P31 L2:W30">
    <cfRule type="expression" dxfId="18" priority="3">
      <formula>AND(ISNUMBER(L2), L2&gt;TODAY())</formula>
    </cfRule>
  </conditionalFormatting>
  <conditionalFormatting sqref="M31">
    <cfRule type="expression" dxfId="17" priority="2">
      <formula>AND(ISNUMBER(M31), M31&gt;TODAY())</formula>
    </cfRule>
  </conditionalFormatting>
  <conditionalFormatting sqref="R31:V31">
    <cfRule type="expression" dxfId="16" priority="1">
      <formula>AND(ISNUMBER(R31), R31&gt;TODAY())</formula>
    </cfRule>
  </conditionalFormatting>
  <dataValidations count="4">
    <dataValidation type="list" allowBlank="1" showInputMessage="1" showErrorMessage="1" sqref="E2:E31 X2:X31" xr:uid="{5735740A-38F2-4A8A-AFED-DB830CA5AA90}">
      <formula1>"Yes, No"</formula1>
    </dataValidation>
    <dataValidation type="list" allowBlank="1" showInputMessage="1" showErrorMessage="1" sqref="H2:H31" xr:uid="{978F989C-C772-4812-9AF7-D8F795E45666}">
      <formula1>"Inpt, Oupt"</formula1>
    </dataValidation>
    <dataValidation type="list" allowBlank="1" showInputMessage="1" showErrorMessage="1" sqref="J2:J31" xr:uid="{FFF541DD-062F-46D4-A56F-5DBA402B4E30}">
      <formula1>"AS, AS/CAD, MR, MR/CAD, AI"</formula1>
    </dataValidation>
    <dataValidation type="list" allowBlank="1" showInputMessage="1" showErrorMessage="1" sqref="Y2:Y31" xr:uid="{2C441EDA-F1AA-4B68-9206-6AB4A6DDB88B}">
      <formula1>"TAVR, TAVR/PCI,  mTEER, redo mTEER, SAVR, SAVR/CABG, TMVR, Declined, Refused, Referred, Deceased"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4B9E2-B3F4-44BD-A2A9-05B10913ACED}">
  <sheetPr codeName="Sheet24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15" priority="4">
      <formula>AND(NOT(ISBLANK($A2)), OR(ISBLANK($K2), $K2="Faxed"))</formula>
    </cfRule>
  </conditionalFormatting>
  <conditionalFormatting sqref="L31:P31 L2:W30">
    <cfRule type="expression" dxfId="14" priority="3">
      <formula>AND(ISNUMBER(L2), L2&gt;TODAY())</formula>
    </cfRule>
  </conditionalFormatting>
  <conditionalFormatting sqref="M31">
    <cfRule type="expression" dxfId="13" priority="2">
      <formula>AND(ISNUMBER(M31), M31&gt;TODAY())</formula>
    </cfRule>
  </conditionalFormatting>
  <conditionalFormatting sqref="R31:V31">
    <cfRule type="expression" dxfId="12" priority="1">
      <formula>AND(ISNUMBER(R31), R31&gt;TODAY())</formula>
    </cfRule>
  </conditionalFormatting>
  <dataValidations count="4">
    <dataValidation type="list" allowBlank="1" showInputMessage="1" showErrorMessage="1" sqref="Y2:Y31" xr:uid="{21328567-7D54-4DF2-A7B0-60B36162D9DA}">
      <formula1>"TAVR, TAVR/PCI,  mTEER, redo mTEER, SAVR, SAVR/CABG, TMVR, Declined, Refused, Referred, Deceased"</formula1>
    </dataValidation>
    <dataValidation type="list" allowBlank="1" showInputMessage="1" showErrorMessage="1" sqref="J2:J31" xr:uid="{2956405D-767C-40B2-BE8B-309E35B76F22}">
      <formula1>"AS, AS/CAD, MR, MR/CAD, AI"</formula1>
    </dataValidation>
    <dataValidation type="list" allowBlank="1" showInputMessage="1" showErrorMessage="1" sqref="H2:H31" xr:uid="{B05D456B-7F73-4786-8735-1CC8D59B443F}">
      <formula1>"Inpt, Oupt"</formula1>
    </dataValidation>
    <dataValidation type="list" allowBlank="1" showInputMessage="1" showErrorMessage="1" sqref="E2:E31 X2:X31" xr:uid="{91EE8586-913B-44D0-9F43-A9170356B584}">
      <formula1>"Yes, No"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F63D9-117F-4E19-819B-55A60443EC86}">
  <sheetPr codeName="Sheet25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11" priority="4">
      <formula>AND(NOT(ISBLANK($A2)), OR(ISBLANK($K2), $K2="Faxed"))</formula>
    </cfRule>
  </conditionalFormatting>
  <conditionalFormatting sqref="L31:P31 L2:W30">
    <cfRule type="expression" dxfId="10" priority="3">
      <formula>AND(ISNUMBER(L2), L2&gt;TODAY())</formula>
    </cfRule>
  </conditionalFormatting>
  <conditionalFormatting sqref="M31">
    <cfRule type="expression" dxfId="9" priority="2">
      <formula>AND(ISNUMBER(M31), M31&gt;TODAY())</formula>
    </cfRule>
  </conditionalFormatting>
  <conditionalFormatting sqref="R31:V31">
    <cfRule type="expression" dxfId="8" priority="1">
      <formula>AND(ISNUMBER(R31), R31&gt;TODAY())</formula>
    </cfRule>
  </conditionalFormatting>
  <dataValidations count="4">
    <dataValidation type="list" allowBlank="1" showInputMessage="1" showErrorMessage="1" sqref="E2:E31 X2:X31" xr:uid="{51FF1045-412F-464E-88B6-9C142EF1F445}">
      <formula1>"Yes, No"</formula1>
    </dataValidation>
    <dataValidation type="list" allowBlank="1" showInputMessage="1" showErrorMessage="1" sqref="H2:H31" xr:uid="{6CFC0F2D-0C68-4E54-ADBD-9ACA8D51B526}">
      <formula1>"Inpt, Oupt"</formula1>
    </dataValidation>
    <dataValidation type="list" allowBlank="1" showInputMessage="1" showErrorMessage="1" sqref="J2:J31" xr:uid="{7E56C725-5B1A-4395-9C33-A6FEFCB309E4}">
      <formula1>"AS, AS/CAD, MR, MR/CAD, AI"</formula1>
    </dataValidation>
    <dataValidation type="list" allowBlank="1" showInputMessage="1" showErrorMessage="1" sqref="Y2:Y31" xr:uid="{4BF19465-B03A-47F9-A1D1-07F0394EFAC4}">
      <formula1>"TAVR, TAVR/PCI,  mTEER, redo mTEER, SAVR, SAVR/CABG, TMVR, Declined, Refused, Referred, Deceased"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1CF8-E335-4409-8E9A-CB9D187F848E}">
  <sheetPr codeName="Sheet26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7" priority="4">
      <formula>AND(NOT(ISBLANK($A2)), OR(ISBLANK($K2), $K2="Faxed"))</formula>
    </cfRule>
  </conditionalFormatting>
  <conditionalFormatting sqref="L31:P31 L2:W30">
    <cfRule type="expression" dxfId="6" priority="3">
      <formula>AND(ISNUMBER(L2), L2&gt;TODAY())</formula>
    </cfRule>
  </conditionalFormatting>
  <conditionalFormatting sqref="M31">
    <cfRule type="expression" dxfId="5" priority="2">
      <formula>AND(ISNUMBER(M31), M31&gt;TODAY())</formula>
    </cfRule>
  </conditionalFormatting>
  <conditionalFormatting sqref="R31:V31">
    <cfRule type="expression" dxfId="4" priority="1">
      <formula>AND(ISNUMBER(R31), R31&gt;TODAY())</formula>
    </cfRule>
  </conditionalFormatting>
  <dataValidations count="4">
    <dataValidation type="list" allowBlank="1" showInputMessage="1" showErrorMessage="1" sqref="Y2:Y31" xr:uid="{7E4FFE1B-9931-44EB-B502-D2A9016DBB99}">
      <formula1>"TAVR, TAVR/PCI,  mTEER, redo mTEER, SAVR, SAVR/CABG, TMVR, Declined, Refused, Referred, Deceased"</formula1>
    </dataValidation>
    <dataValidation type="list" allowBlank="1" showInputMessage="1" showErrorMessage="1" sqref="J2:J31" xr:uid="{47BC847B-211F-415E-B0DC-CA7E69C47745}">
      <formula1>"AS, AS/CAD, MR, MR/CAD, AI"</formula1>
    </dataValidation>
    <dataValidation type="list" allowBlank="1" showInputMessage="1" showErrorMessage="1" sqref="H2:H31" xr:uid="{F87ADB88-0ECC-466A-9940-59F9823F4801}">
      <formula1>"Inpt, Oupt"</formula1>
    </dataValidation>
    <dataValidation type="list" allowBlank="1" showInputMessage="1" showErrorMessage="1" sqref="E2:E31 X2:X31" xr:uid="{9F9E3838-CB4D-4B73-8920-67DFC3EEC93F}">
      <formula1>"Yes, No"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CAC55-29D4-4249-9996-28E12C357008}">
  <sheetPr codeName="Sheet27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3" priority="4">
      <formula>AND(NOT(ISBLANK($A2)), OR(ISBLANK($K2), $K2="Faxed"))</formula>
    </cfRule>
  </conditionalFormatting>
  <conditionalFormatting sqref="L31:P31 L2:W30">
    <cfRule type="expression" dxfId="2" priority="3">
      <formula>AND(ISNUMBER(L2), L2&gt;TODAY())</formula>
    </cfRule>
  </conditionalFormatting>
  <conditionalFormatting sqref="M31">
    <cfRule type="expression" dxfId="1" priority="2">
      <formula>AND(ISNUMBER(M31), M31&gt;TODAY())</formula>
    </cfRule>
  </conditionalFormatting>
  <conditionalFormatting sqref="R31:V31">
    <cfRule type="expression" dxfId="0" priority="1">
      <formula>AND(ISNUMBER(R31), R31&gt;TODAY())</formula>
    </cfRule>
  </conditionalFormatting>
  <dataValidations count="4">
    <dataValidation type="list" allowBlank="1" showInputMessage="1" showErrorMessage="1" sqref="E2:E31 X2:X31" xr:uid="{56028F44-AF31-4632-8E22-F07EA0AFE23F}">
      <formula1>"Yes, No"</formula1>
    </dataValidation>
    <dataValidation type="list" allowBlank="1" showInputMessage="1" showErrorMessage="1" sqref="H2:H31" xr:uid="{A1C2038D-943B-41BA-8D19-E3123D4930B3}">
      <formula1>"Inpt, Oupt"</formula1>
    </dataValidation>
    <dataValidation type="list" allowBlank="1" showInputMessage="1" showErrorMessage="1" sqref="J2:J31" xr:uid="{7301A34C-F087-443B-9635-2C40BC8C4E76}">
      <formula1>"AS, AS/CAD, MR, MR/CAD, AI"</formula1>
    </dataValidation>
    <dataValidation type="list" allowBlank="1" showInputMessage="1" showErrorMessage="1" sqref="Y2:Y31" xr:uid="{C0B84736-818D-4105-AF54-8710CAECFE51}">
      <formula1>"TAVR, TAVR/PCI,  mTEER, redo mTEER, SAVR, SAVR/CABG, TMVR, Declined, Refused, Referred, Deceased"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E41B4-C73D-4917-8923-6264412A0CD9}">
  <sheetPr codeName="Sheet16"/>
  <dimension ref="A1:AB32"/>
  <sheetViews>
    <sheetView workbookViewId="0">
      <selection activeCell="A2" sqref="A2"/>
    </sheetView>
  </sheetViews>
  <sheetFormatPr defaultRowHeight="15" x14ac:dyDescent="0.25"/>
  <cols>
    <col min="1" max="1" width="6.28515625" bestFit="1" customWidth="1"/>
    <col min="2" max="2" width="3.7109375" bestFit="1" customWidth="1"/>
    <col min="3" max="3" width="3.85546875" bestFit="1" customWidth="1"/>
    <col min="4" max="4" width="3.28515625" bestFit="1" customWidth="1"/>
    <col min="5" max="5" width="3.7109375" bestFit="1" customWidth="1"/>
    <col min="6" max="7" width="8.140625" bestFit="1" customWidth="1"/>
    <col min="8" max="8" width="6.140625" bestFit="1" customWidth="1"/>
    <col min="9" max="9" width="5.140625" bestFit="1" customWidth="1"/>
    <col min="10" max="10" width="7.85546875" bestFit="1" customWidth="1"/>
    <col min="11" max="11" width="6.85546875" bestFit="1" customWidth="1"/>
    <col min="12" max="12" width="8" bestFit="1" customWidth="1"/>
    <col min="13" max="13" width="7.28515625" bestFit="1" customWidth="1"/>
    <col min="14" max="14" width="6.140625" bestFit="1" customWidth="1"/>
    <col min="15" max="15" width="4.42578125" bestFit="1" customWidth="1"/>
    <col min="16" max="16" width="5.140625" bestFit="1" customWidth="1"/>
    <col min="17" max="17" width="8.42578125" bestFit="1" customWidth="1"/>
    <col min="18" max="18" width="4.42578125" bestFit="1" customWidth="1"/>
    <col min="19" max="19" width="7.42578125" bestFit="1" customWidth="1"/>
    <col min="20" max="20" width="4.140625" bestFit="1" customWidth="1"/>
    <col min="21" max="21" width="6.28515625" bestFit="1" customWidth="1"/>
    <col min="22" max="22" width="5" bestFit="1" customWidth="1"/>
    <col min="23" max="23" width="7.5703125" bestFit="1" customWidth="1"/>
    <col min="24" max="24" width="10" bestFit="1" customWidth="1"/>
    <col min="25" max="25" width="10.5703125" bestFit="1" customWidth="1"/>
    <col min="26" max="26" width="10.5703125" customWidth="1"/>
    <col min="27" max="27" width="10.140625" bestFit="1" customWidth="1"/>
    <col min="28" max="28" width="53.42578125" customWidth="1"/>
  </cols>
  <sheetData>
    <row r="1" spans="1:28" ht="6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9" t="s">
        <v>14</v>
      </c>
      <c r="N1" s="8" t="s">
        <v>15</v>
      </c>
      <c r="O1" s="9" t="s">
        <v>56</v>
      </c>
      <c r="P1" s="9" t="s">
        <v>12</v>
      </c>
      <c r="Q1" s="8" t="s">
        <v>13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8" t="s">
        <v>23</v>
      </c>
      <c r="Z1" s="8" t="s">
        <v>57</v>
      </c>
      <c r="AA1" s="9" t="s">
        <v>24</v>
      </c>
      <c r="AB1" s="9" t="s">
        <v>25</v>
      </c>
    </row>
    <row r="2" spans="1:28" x14ac:dyDescent="0.25">
      <c r="A2" s="2"/>
      <c r="B2" s="5"/>
      <c r="C2" s="4"/>
      <c r="D2" s="4"/>
      <c r="E2" s="4"/>
      <c r="F2" s="5"/>
      <c r="G2" s="4"/>
      <c r="H2" s="4"/>
      <c r="I2" s="5"/>
      <c r="J2" s="4"/>
      <c r="K2" s="1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3"/>
      <c r="Y2" s="5"/>
      <c r="Z2" s="5"/>
      <c r="AA2" s="5"/>
      <c r="AB2" s="6"/>
    </row>
    <row r="3" spans="1:28" x14ac:dyDescent="0.25">
      <c r="A3" s="2"/>
      <c r="B3" s="5"/>
      <c r="C3" s="4"/>
      <c r="D3" s="4"/>
      <c r="E3" s="4"/>
      <c r="F3" s="5"/>
      <c r="G3" s="4"/>
      <c r="H3" s="4"/>
      <c r="I3" s="5"/>
      <c r="J3" s="4"/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5"/>
      <c r="Z3" s="5"/>
      <c r="AA3" s="5"/>
      <c r="AB3" s="6"/>
    </row>
    <row r="4" spans="1:28" x14ac:dyDescent="0.25">
      <c r="A4" s="2"/>
      <c r="B4" s="5"/>
      <c r="C4" s="4"/>
      <c r="D4" s="4"/>
      <c r="E4" s="4"/>
      <c r="F4" s="5"/>
      <c r="G4" s="4"/>
      <c r="H4" s="4"/>
      <c r="I4" s="5"/>
      <c r="J4" s="4"/>
      <c r="K4" s="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"/>
      <c r="Y4" s="5"/>
      <c r="Z4" s="5"/>
      <c r="AA4" s="5"/>
      <c r="AB4" s="6"/>
    </row>
    <row r="5" spans="1:28" x14ac:dyDescent="0.25">
      <c r="A5" s="2"/>
      <c r="B5" s="5"/>
      <c r="C5" s="4"/>
      <c r="D5" s="4"/>
      <c r="E5" s="4"/>
      <c r="F5" s="5"/>
      <c r="G5" s="4"/>
      <c r="H5" s="4"/>
      <c r="I5" s="5"/>
      <c r="J5" s="4"/>
      <c r="K5" s="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3"/>
      <c r="Y5" s="5"/>
      <c r="Z5" s="5"/>
      <c r="AA5" s="5"/>
      <c r="AB5" s="6"/>
    </row>
    <row r="6" spans="1:28" x14ac:dyDescent="0.25">
      <c r="A6" s="2"/>
      <c r="B6" s="5"/>
      <c r="C6" s="4"/>
      <c r="D6" s="4"/>
      <c r="E6" s="4"/>
      <c r="F6" s="5"/>
      <c r="G6" s="4"/>
      <c r="H6" s="4"/>
      <c r="I6" s="5"/>
      <c r="J6" s="4"/>
      <c r="K6" s="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/>
      <c r="Y6" s="5"/>
      <c r="Z6" s="5"/>
      <c r="AA6" s="5"/>
      <c r="AB6" s="6"/>
    </row>
    <row r="7" spans="1:28" x14ac:dyDescent="0.25">
      <c r="A7" s="2"/>
      <c r="B7" s="5"/>
      <c r="C7" s="4"/>
      <c r="D7" s="4"/>
      <c r="E7" s="4"/>
      <c r="F7" s="5"/>
      <c r="G7" s="4"/>
      <c r="H7" s="4"/>
      <c r="I7" s="5"/>
      <c r="J7" s="4"/>
      <c r="K7" s="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3"/>
      <c r="Y7" s="5"/>
      <c r="Z7" s="5"/>
      <c r="AA7" s="5"/>
      <c r="AB7" s="6"/>
    </row>
    <row r="8" spans="1:28" x14ac:dyDescent="0.25">
      <c r="A8" s="6"/>
      <c r="B8" s="10"/>
      <c r="C8" s="6"/>
      <c r="D8" s="6"/>
      <c r="E8" s="6"/>
      <c r="F8" s="10"/>
      <c r="G8" s="6"/>
      <c r="H8" s="6"/>
      <c r="I8" s="10"/>
      <c r="J8" s="6"/>
      <c r="K8" s="6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10"/>
      <c r="Z8" s="10"/>
      <c r="AA8" s="10"/>
      <c r="AB8" s="6"/>
    </row>
    <row r="9" spans="1:28" x14ac:dyDescent="0.25">
      <c r="A9" s="6"/>
      <c r="B9" s="10"/>
      <c r="C9" s="6"/>
      <c r="D9" s="6"/>
      <c r="E9" s="6"/>
      <c r="F9" s="10"/>
      <c r="G9" s="6"/>
      <c r="H9" s="6"/>
      <c r="I9" s="10"/>
      <c r="J9" s="6"/>
      <c r="K9" s="6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10"/>
      <c r="Z9" s="10"/>
      <c r="AA9" s="10"/>
      <c r="AB9" s="6"/>
    </row>
    <row r="10" spans="1:28" x14ac:dyDescent="0.25">
      <c r="A10" s="6"/>
      <c r="B10" s="10"/>
      <c r="C10" s="6"/>
      <c r="D10" s="6"/>
      <c r="E10" s="6"/>
      <c r="F10" s="10"/>
      <c r="G10" s="6"/>
      <c r="H10" s="6"/>
      <c r="I10" s="10"/>
      <c r="J10" s="6"/>
      <c r="K10" s="6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10"/>
      <c r="Z10" s="10"/>
      <c r="AA10" s="10"/>
      <c r="AB10" s="6"/>
    </row>
    <row r="11" spans="1:28" x14ac:dyDescent="0.25">
      <c r="A11" s="6"/>
      <c r="B11" s="10"/>
      <c r="C11" s="6"/>
      <c r="D11" s="6"/>
      <c r="E11" s="6"/>
      <c r="F11" s="10"/>
      <c r="G11" s="6"/>
      <c r="H11" s="6"/>
      <c r="I11" s="10"/>
      <c r="J11" s="6"/>
      <c r="K11" s="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6"/>
      <c r="Y11" s="10"/>
      <c r="Z11" s="10"/>
      <c r="AA11" s="10"/>
      <c r="AB11" s="6"/>
    </row>
    <row r="12" spans="1:28" x14ac:dyDescent="0.25">
      <c r="A12" s="6"/>
      <c r="B12" s="10"/>
      <c r="C12" s="6"/>
      <c r="D12" s="6"/>
      <c r="E12" s="6"/>
      <c r="F12" s="10"/>
      <c r="G12" s="6"/>
      <c r="H12" s="6"/>
      <c r="I12" s="10"/>
      <c r="J12" s="6"/>
      <c r="K12" s="6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10"/>
      <c r="Z12" s="10"/>
      <c r="AA12" s="10"/>
      <c r="AB12" s="6"/>
    </row>
    <row r="13" spans="1:28" x14ac:dyDescent="0.25">
      <c r="A13" s="6"/>
      <c r="B13" s="10"/>
      <c r="C13" s="6"/>
      <c r="D13" s="6"/>
      <c r="E13" s="6"/>
      <c r="F13" s="10"/>
      <c r="G13" s="6"/>
      <c r="H13" s="6"/>
      <c r="I13" s="10"/>
      <c r="J13" s="6"/>
      <c r="K13" s="6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6"/>
      <c r="Y13" s="10"/>
      <c r="Z13" s="10"/>
      <c r="AA13" s="10"/>
      <c r="AB13" s="6"/>
    </row>
    <row r="14" spans="1:28" x14ac:dyDescent="0.25">
      <c r="A14" s="6"/>
      <c r="B14" s="10"/>
      <c r="C14" s="6"/>
      <c r="D14" s="6"/>
      <c r="E14" s="6"/>
      <c r="F14" s="10"/>
      <c r="G14" s="6"/>
      <c r="H14" s="6"/>
      <c r="I14" s="10"/>
      <c r="J14" s="6"/>
      <c r="K14" s="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6"/>
      <c r="Y14" s="10"/>
      <c r="Z14" s="10"/>
      <c r="AA14" s="10"/>
      <c r="AB14" s="6"/>
    </row>
    <row r="15" spans="1:28" x14ac:dyDescent="0.25">
      <c r="A15" s="6"/>
      <c r="B15" s="10"/>
      <c r="C15" s="6"/>
      <c r="D15" s="6"/>
      <c r="E15" s="6"/>
      <c r="F15" s="10"/>
      <c r="G15" s="6"/>
      <c r="H15" s="6"/>
      <c r="I15" s="10"/>
      <c r="J15" s="6"/>
      <c r="K15" s="6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  <c r="Y15" s="10"/>
      <c r="Z15" s="10"/>
      <c r="AA15" s="10"/>
      <c r="AB15" s="6"/>
    </row>
    <row r="16" spans="1:28" x14ac:dyDescent="0.25">
      <c r="A16" s="6"/>
      <c r="B16" s="10"/>
      <c r="C16" s="6"/>
      <c r="D16" s="6"/>
      <c r="E16" s="6"/>
      <c r="F16" s="10"/>
      <c r="G16" s="6"/>
      <c r="H16" s="6"/>
      <c r="I16" s="10"/>
      <c r="J16" s="6"/>
      <c r="K16" s="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6"/>
      <c r="Y16" s="10"/>
      <c r="Z16" s="10"/>
      <c r="AA16" s="10"/>
      <c r="AB16" s="6"/>
    </row>
    <row r="17" spans="1:28" x14ac:dyDescent="0.25">
      <c r="A17" s="6"/>
      <c r="B17" s="10"/>
      <c r="C17" s="6"/>
      <c r="D17" s="6"/>
      <c r="E17" s="6"/>
      <c r="F17" s="10"/>
      <c r="G17" s="6"/>
      <c r="H17" s="6"/>
      <c r="I17" s="10"/>
      <c r="J17" s="6"/>
      <c r="K17" s="6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6"/>
      <c r="Y17" s="10"/>
      <c r="Z17" s="10"/>
      <c r="AA17" s="10"/>
      <c r="AB17" s="6"/>
    </row>
    <row r="18" spans="1:28" x14ac:dyDescent="0.25">
      <c r="A18" s="6"/>
      <c r="B18" s="10"/>
      <c r="C18" s="6"/>
      <c r="D18" s="6"/>
      <c r="E18" s="6"/>
      <c r="F18" s="10"/>
      <c r="G18" s="6"/>
      <c r="H18" s="6"/>
      <c r="I18" s="10"/>
      <c r="J18" s="6"/>
      <c r="K18" s="6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6"/>
      <c r="Y18" s="10"/>
      <c r="Z18" s="10"/>
      <c r="AA18" s="10"/>
      <c r="AB18" s="6"/>
    </row>
    <row r="19" spans="1:28" x14ac:dyDescent="0.25">
      <c r="A19" s="6"/>
      <c r="B19" s="10"/>
      <c r="C19" s="6"/>
      <c r="D19" s="6"/>
      <c r="E19" s="6"/>
      <c r="F19" s="10"/>
      <c r="G19" s="6"/>
      <c r="H19" s="6"/>
      <c r="I19" s="10"/>
      <c r="J19" s="6"/>
      <c r="K19" s="1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10"/>
      <c r="Z19" s="10"/>
      <c r="AA19" s="10"/>
      <c r="AB19" s="6"/>
    </row>
    <row r="20" spans="1:28" x14ac:dyDescent="0.25">
      <c r="A20" s="6"/>
      <c r="B20" s="10"/>
      <c r="C20" s="6"/>
      <c r="D20" s="6"/>
      <c r="E20" s="6"/>
      <c r="F20" s="10"/>
      <c r="G20" s="6"/>
      <c r="H20" s="6"/>
      <c r="I20" s="10"/>
      <c r="J20" s="6"/>
      <c r="K20" s="6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6"/>
      <c r="Y20" s="10"/>
      <c r="Z20" s="10"/>
      <c r="AA20" s="10"/>
      <c r="AB20" s="6"/>
    </row>
    <row r="21" spans="1:28" x14ac:dyDescent="0.25">
      <c r="A21" s="6"/>
      <c r="B21" s="10"/>
      <c r="C21" s="6"/>
      <c r="D21" s="6"/>
      <c r="E21" s="6"/>
      <c r="F21" s="10"/>
      <c r="G21" s="6"/>
      <c r="H21" s="6"/>
      <c r="I21" s="10"/>
      <c r="J21" s="6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6"/>
      <c r="Y21" s="10"/>
      <c r="Z21" s="10"/>
      <c r="AA21" s="10"/>
      <c r="AB21" s="6"/>
    </row>
    <row r="22" spans="1:28" x14ac:dyDescent="0.25">
      <c r="A22" s="6"/>
      <c r="B22" s="10"/>
      <c r="C22" s="6"/>
      <c r="D22" s="6"/>
      <c r="E22" s="6"/>
      <c r="F22" s="10"/>
      <c r="G22" s="6"/>
      <c r="H22" s="6"/>
      <c r="I22" s="10"/>
      <c r="J22" s="6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6"/>
      <c r="Y22" s="10"/>
      <c r="Z22" s="10"/>
      <c r="AA22" s="10"/>
      <c r="AB22" s="6"/>
    </row>
    <row r="23" spans="1:28" x14ac:dyDescent="0.25">
      <c r="A23" s="6"/>
      <c r="B23" s="10"/>
      <c r="C23" s="6"/>
      <c r="D23" s="6"/>
      <c r="E23" s="6"/>
      <c r="F23" s="10"/>
      <c r="G23" s="6"/>
      <c r="H23" s="6"/>
      <c r="I23" s="10"/>
      <c r="J23" s="6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6"/>
      <c r="Y23" s="10"/>
      <c r="Z23" s="10"/>
      <c r="AA23" s="10"/>
      <c r="AB23" s="6"/>
    </row>
    <row r="24" spans="1:28" x14ac:dyDescent="0.25">
      <c r="A24" s="6"/>
      <c r="B24" s="10"/>
      <c r="C24" s="6"/>
      <c r="D24" s="6"/>
      <c r="E24" s="6"/>
      <c r="F24" s="10"/>
      <c r="G24" s="6"/>
      <c r="H24" s="6"/>
      <c r="I24" s="10"/>
      <c r="J24" s="6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6"/>
      <c r="Y24" s="10"/>
      <c r="Z24" s="10"/>
      <c r="AA24" s="10"/>
      <c r="AB24" s="6"/>
    </row>
    <row r="25" spans="1:28" x14ac:dyDescent="0.25">
      <c r="A25" s="6"/>
      <c r="B25" s="10"/>
      <c r="C25" s="6"/>
      <c r="D25" s="6"/>
      <c r="E25" s="6"/>
      <c r="F25" s="10"/>
      <c r="G25" s="6"/>
      <c r="H25" s="6"/>
      <c r="I25" s="10"/>
      <c r="J25" s="6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6"/>
      <c r="Y25" s="10"/>
      <c r="Z25" s="10"/>
      <c r="AA25" s="10"/>
      <c r="AB25" s="6"/>
    </row>
    <row r="26" spans="1:28" x14ac:dyDescent="0.25">
      <c r="A26" s="6"/>
      <c r="B26" s="10"/>
      <c r="C26" s="6"/>
      <c r="D26" s="6"/>
      <c r="E26" s="6"/>
      <c r="F26" s="10"/>
      <c r="G26" s="6"/>
      <c r="H26" s="6"/>
      <c r="I26" s="10"/>
      <c r="J26" s="6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6"/>
      <c r="Y26" s="10"/>
      <c r="Z26" s="10"/>
      <c r="AA26" s="10"/>
      <c r="AB26" s="6"/>
    </row>
    <row r="27" spans="1:28" x14ac:dyDescent="0.25">
      <c r="A27" s="6"/>
      <c r="B27" s="10"/>
      <c r="C27" s="6"/>
      <c r="D27" s="6"/>
      <c r="E27" s="6"/>
      <c r="F27" s="10"/>
      <c r="G27" s="6"/>
      <c r="H27" s="6"/>
      <c r="I27" s="10"/>
      <c r="J27" s="6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6"/>
      <c r="Y27" s="10"/>
      <c r="Z27" s="10"/>
      <c r="AA27" s="10"/>
      <c r="AB27" s="6"/>
    </row>
    <row r="28" spans="1:28" x14ac:dyDescent="0.25">
      <c r="A28" s="6"/>
      <c r="B28" s="10"/>
      <c r="C28" s="6"/>
      <c r="D28" s="6"/>
      <c r="E28" s="6"/>
      <c r="F28" s="10"/>
      <c r="G28" s="6"/>
      <c r="H28" s="6"/>
      <c r="I28" s="10"/>
      <c r="J28" s="6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6"/>
      <c r="Y28" s="10"/>
      <c r="Z28" s="10"/>
      <c r="AA28" s="10"/>
      <c r="AB28" s="6"/>
    </row>
    <row r="29" spans="1:28" x14ac:dyDescent="0.25">
      <c r="A29" s="6"/>
      <c r="B29" s="10"/>
      <c r="C29" s="6"/>
      <c r="D29" s="6"/>
      <c r="E29" s="6"/>
      <c r="F29" s="10"/>
      <c r="G29" s="6"/>
      <c r="H29" s="6"/>
      <c r="I29" s="10"/>
      <c r="J29" s="6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10"/>
      <c r="Z29" s="10"/>
      <c r="AA29" s="10"/>
      <c r="AB29" s="6"/>
    </row>
    <row r="30" spans="1:28" x14ac:dyDescent="0.25">
      <c r="A30" s="6"/>
      <c r="B30" s="10"/>
      <c r="C30" s="6"/>
      <c r="D30" s="6"/>
      <c r="E30" s="6"/>
      <c r="F30" s="10"/>
      <c r="G30" s="6"/>
      <c r="H30" s="6"/>
      <c r="I30" s="10"/>
      <c r="J30" s="6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6"/>
      <c r="Y30" s="10"/>
      <c r="Z30" s="10"/>
      <c r="AA30" s="10"/>
      <c r="AB30" s="6"/>
    </row>
    <row r="31" spans="1:28" x14ac:dyDescent="0.25">
      <c r="A31" s="6"/>
      <c r="B31" s="10"/>
      <c r="C31" s="6"/>
      <c r="D31" s="6"/>
      <c r="E31" s="6"/>
      <c r="F31" s="10"/>
      <c r="G31" s="6"/>
      <c r="H31" s="6"/>
      <c r="I31" s="10"/>
      <c r="J31" s="6"/>
      <c r="K31" s="6"/>
      <c r="L31" s="10"/>
      <c r="M31" s="10"/>
      <c r="N31" s="10"/>
      <c r="O31" s="10"/>
      <c r="P31" s="10"/>
      <c r="Q31" s="6"/>
      <c r="R31" s="10"/>
      <c r="S31" s="10"/>
      <c r="T31" s="11"/>
      <c r="U31" s="10"/>
      <c r="V31" s="10"/>
      <c r="W31" s="10"/>
      <c r="X31" s="6"/>
      <c r="Y31" s="10"/>
      <c r="Z31" s="10"/>
      <c r="AA31" s="10"/>
      <c r="AB31" s="6"/>
    </row>
    <row r="32" spans="1:28" s="1" customFormat="1" x14ac:dyDescent="0.25"/>
  </sheetData>
  <conditionalFormatting sqref="K2:K31">
    <cfRule type="expression" dxfId="47" priority="4">
      <formula>AND(NOT(ISBLANK($A2)), OR(ISBLANK($K2), $K2="Faxed"))</formula>
    </cfRule>
  </conditionalFormatting>
  <conditionalFormatting sqref="L31:P31 L2:W30">
    <cfRule type="expression" dxfId="46" priority="3">
      <formula>AND(ISNUMBER(L2), L2&gt;TODAY())</formula>
    </cfRule>
  </conditionalFormatting>
  <conditionalFormatting sqref="M31">
    <cfRule type="expression" dxfId="45" priority="2">
      <formula>AND(ISNUMBER(M31), M31&gt;TODAY())</formula>
    </cfRule>
  </conditionalFormatting>
  <conditionalFormatting sqref="R31:V31">
    <cfRule type="expression" dxfId="44" priority="1">
      <formula>AND(ISNUMBER(R31), R31&gt;TODAY())</formula>
    </cfRule>
  </conditionalFormatting>
  <dataValidations count="4">
    <dataValidation type="list" allowBlank="1" showInputMessage="1" showErrorMessage="1" sqref="E2:E31 X2:X31" xr:uid="{5EB34CE3-7738-4F3D-918B-14DA43F2083F}">
      <formula1>"Yes, No"</formula1>
    </dataValidation>
    <dataValidation type="list" allowBlank="1" showInputMessage="1" showErrorMessage="1" sqref="H2:H31" xr:uid="{DDE01FA4-1C42-466B-84D6-2A0A2E745D0C}">
      <formula1>"Inpt, Oupt"</formula1>
    </dataValidation>
    <dataValidation type="list" allowBlank="1" showInputMessage="1" showErrorMessage="1" sqref="J2:J31" xr:uid="{0E601423-2969-4B2F-89A6-41AA9AFC5C1C}">
      <formula1>"AS, AS/CAD, MR, MR/CAD, AI"</formula1>
    </dataValidation>
    <dataValidation type="list" allowBlank="1" showInputMessage="1" showErrorMessage="1" sqref="Y2:Y31" xr:uid="{C2AE5435-F223-4C2F-94A6-B082E15145AA}">
      <formula1>"TAVR, TAVR/PCI,  mTEER, redo mTEER, SAVR, SAVR/CABG, TMVR, Declined, Refused, Referred, Deceased"</formula1>
    </dataValidation>
  </dataValidations>
  <pageMargins left="0.7" right="0.7" top="0.75" bottom="0.75" header="0.3" footer="0.3"/>
  <pageSetup orientation="portrait" horizontalDpi="1200" verticalDpi="1200" r:id="rId1"/>
</worksheet>
</file>

<file path=docMetadata/LabelInfo.xml><?xml version="1.0" encoding="utf-8"?>
<clbl:labelList xmlns:clbl="http://schemas.microsoft.com/office/2020/mipLabelMetadata">
  <clbl:label id="{8331b18d-2d87-48ef-a35f-ac8818ebf9b4}" enabled="0" method="" siteId="{8331b18d-2d87-48ef-a35f-ac8818ebf9b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EchoKPIs</vt:lpstr>
      <vt:lpstr>MonthlyCounts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MORMANN, BRIAN W CTR USAF AFMC AFLCMC/PEO C3BM/C3MM</dc:creator>
  <cp:lastModifiedBy>Brian Mormann</cp:lastModifiedBy>
  <dcterms:created xsi:type="dcterms:W3CDTF">2025-10-31T12:50:58Z</dcterms:created>
  <dcterms:modified xsi:type="dcterms:W3CDTF">2026-01-01T16:50:38Z</dcterms:modified>
</cp:coreProperties>
</file>